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kata\steam97\test2026\sm97s2_2\"/>
    </mc:Choice>
  </mc:AlternateContent>
  <xr:revisionPtr revIDLastSave="0" documentId="13_ncr:1_{17E8B2F3-6C82-4A35-9886-72DF4FEC5222}" xr6:coauthVersionLast="47" xr6:coauthVersionMax="47" xr10:uidLastSave="{00000000-0000-0000-0000-000000000000}"/>
  <bookViews>
    <workbookView xWindow="0" yWindow="405" windowWidth="21900" windowHeight="15345" xr2:uid="{1943D978-3BED-409E-AD2F-D786A18C7A36}"/>
  </bookViews>
  <sheets>
    <sheet name="表Sample" sheetId="2" r:id="rId1"/>
    <sheet name="Sheet4" sheetId="3" r:id="rId2"/>
  </sheets>
  <functionGroups builtInGroupCount="19"/>
  <definedNames>
    <definedName name="_xlnm.Print_Area" localSheetId="0">表Sample!$A$1:$K$44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6" i="2" l="1" a="1"/>
  <c r="L26" i="2" s="1"/>
  <c r="L25" i="2" a="1"/>
  <c r="L25" i="2" s="1"/>
  <c r="L24" i="2" a="1"/>
  <c r="L24" i="2" s="1"/>
  <c r="L23" i="2" a="1"/>
  <c r="L23" i="2" s="1"/>
  <c r="L22" i="2" a="1"/>
  <c r="L22" i="2" s="1"/>
  <c r="L21" i="2" a="1"/>
  <c r="L21" i="2" s="1"/>
  <c r="L20" i="2" a="1"/>
  <c r="L20" i="2" s="1"/>
  <c r="L19" i="2" a="1"/>
  <c r="L19" i="2" s="1"/>
  <c r="M17" i="2"/>
  <c r="M17" i="2" a="1"/>
  <c r="M16" i="2"/>
  <c r="M16" i="2" a="1"/>
  <c r="D4" i="2"/>
  <c r="H42" i="2"/>
  <c r="H26" i="2"/>
  <c r="H16" i="2"/>
  <c r="G25" i="2"/>
  <c r="F27" i="2"/>
  <c r="B32" i="2"/>
  <c r="L8" i="2"/>
  <c r="G7" i="2"/>
  <c r="I8" i="2"/>
  <c r="J38" i="2"/>
  <c r="H31" i="2"/>
  <c r="L5" i="2"/>
  <c r="J42" i="2"/>
  <c r="B11" i="2"/>
  <c r="B3" i="2" a="1"/>
  <c r="I32" i="2"/>
  <c r="I30" i="2"/>
  <c r="J43" i="2"/>
  <c r="J31" i="2"/>
  <c r="L4" i="2"/>
  <c r="L28" i="2" a="1"/>
  <c r="J41" i="2"/>
  <c r="F9" i="2" a="1"/>
  <c r="F16" i="2"/>
  <c r="I15" i="2"/>
  <c r="J32" i="2"/>
  <c r="J25" i="2"/>
  <c r="H43" i="2"/>
  <c r="F31" i="2"/>
  <c r="B6" i="2" a="1"/>
  <c r="H40" i="2"/>
  <c r="G26" i="2"/>
  <c r="I7" i="2"/>
  <c r="G6" i="2"/>
  <c r="B8" i="2" a="1"/>
  <c r="F26" i="2"/>
  <c r="G15" i="2"/>
  <c r="J15" i="2"/>
  <c r="F20" i="2"/>
  <c r="F15" i="2"/>
  <c r="I26" i="2"/>
  <c r="F38" i="2"/>
  <c r="J39" i="2"/>
  <c r="I25" i="2"/>
  <c r="I5" i="2"/>
  <c r="F25" i="2"/>
  <c r="H32" i="2"/>
  <c r="H8" i="2"/>
  <c r="F8" i="2"/>
  <c r="L9" i="2"/>
  <c r="B23" i="2"/>
  <c r="F40" i="2"/>
  <c r="H30" i="2"/>
  <c r="J30" i="2"/>
  <c r="I6" i="2"/>
  <c r="J16" i="2"/>
  <c r="H41" i="2"/>
  <c r="H7" i="2"/>
  <c r="I27" i="2"/>
  <c r="H27" i="2"/>
  <c r="H6" i="2"/>
  <c r="F14" i="2"/>
  <c r="B18" i="2"/>
  <c r="L27" i="2" a="1"/>
  <c r="L30" i="2" a="1"/>
  <c r="F39" i="2"/>
  <c r="H5" i="2"/>
  <c r="H38" i="2"/>
  <c r="G8" i="2"/>
  <c r="L7" i="2"/>
  <c r="F22" i="2"/>
  <c r="H14" i="2"/>
  <c r="H4" i="2"/>
  <c r="B9" i="2" a="1"/>
  <c r="J14" i="2"/>
  <c r="G9" i="2" a="1"/>
  <c r="F41" i="2"/>
  <c r="H39" i="2"/>
  <c r="G4" i="2"/>
  <c r="F32" i="2"/>
  <c r="I16" i="2"/>
  <c r="H25" i="2"/>
  <c r="B33" i="2"/>
  <c r="F42" i="2"/>
  <c r="J27" i="2"/>
  <c r="L29" i="2" a="1"/>
  <c r="F5" i="2" a="1"/>
  <c r="B19" i="2"/>
  <c r="F7" i="2"/>
  <c r="F6" i="2"/>
  <c r="G5" i="2"/>
  <c r="B10" i="2"/>
  <c r="I31" i="2"/>
  <c r="H15" i="2"/>
  <c r="J26" i="2"/>
  <c r="F4" i="2" a="1"/>
  <c r="G14" i="2"/>
  <c r="L6" i="2"/>
  <c r="F43" i="2"/>
  <c r="J40" i="2"/>
  <c r="I9" i="2" a="1"/>
  <c r="F30" i="2"/>
  <c r="F21" i="2"/>
  <c r="H21" i="2" s="1"/>
  <c r="F19" i="2"/>
  <c r="J19" i="2" s="1"/>
  <c r="B5" i="2" a="1"/>
  <c r="I14" i="2"/>
  <c r="G27" i="2"/>
  <c r="I4" i="2"/>
  <c r="H9" i="2" a="1"/>
  <c r="G16" i="2"/>
  <c r="B4" i="2" a="1"/>
  <c r="H22" i="2"/>
  <c r="J22" i="2"/>
  <c r="I9" i="2" l="1"/>
  <c r="H9" i="2"/>
  <c r="G9" i="2"/>
  <c r="F9" i="2"/>
  <c r="B9" i="2"/>
  <c r="B8" i="2"/>
  <c r="F5" i="2"/>
  <c r="F4" i="2"/>
  <c r="B6" i="2"/>
  <c r="B5" i="2"/>
  <c r="B4" i="2"/>
  <c r="L30" i="2"/>
  <c r="L27" i="2"/>
  <c r="L28" i="2"/>
  <c r="L29" i="2"/>
  <c r="B24" i="2"/>
  <c r="B3" i="2"/>
  <c r="H20" i="2"/>
  <c r="B20" i="2"/>
  <c r="B34" i="2"/>
  <c r="J9" i="2" a="1"/>
  <c r="J5" i="2"/>
  <c r="J8" i="2"/>
  <c r="J7" i="2"/>
  <c r="H19" i="2"/>
  <c r="J6" i="2"/>
  <c r="J4" i="2"/>
  <c r="J21" i="2"/>
  <c r="J20" i="2"/>
  <c r="K7" i="2" l="1"/>
  <c r="J9" i="2"/>
  <c r="K9" i="2" s="1"/>
  <c r="K8" i="2"/>
  <c r="K5" i="2"/>
  <c r="K4" i="2"/>
  <c r="K6" i="2"/>
  <c r="B21" i="2"/>
  <c r="B35" i="2"/>
  <c r="B22" i="2" l="1"/>
  <c r="B25" i="2" s="1"/>
  <c r="B36" i="2"/>
  <c r="B37" i="2" s="1"/>
  <c r="B38" i="2" s="1"/>
  <c r="B3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<sst xmlns="http://schemas.openxmlformats.org/spreadsheetml/2006/main" count="81" uniqueCount="49">
  <si>
    <t>この色はSteam97.DLL関数</t>
  </si>
  <si>
    <t>任意点</t>
  </si>
  <si>
    <t>Steam97.DLLのVer.(1)-&gt;</t>
  </si>
  <si>
    <t>圧力[MPa}</t>
  </si>
  <si>
    <t>エンタルピー</t>
  </si>
  <si>
    <t>エントロピー</t>
  </si>
  <si>
    <t>定圧比熱[J/KgK]</t>
  </si>
  <si>
    <t>ｴﾝﾄﾛﾋﾟｰ＆圧力-&gt;温度</t>
  </si>
  <si>
    <t>Steam97.DLLのVer.(2)-&gt;</t>
  </si>
  <si>
    <t>Steam97.DLLのVer.(3)-&gt;</t>
  </si>
  <si>
    <t>Steam97.DLLのVer.(4)-&gt;</t>
  </si>
  <si>
    <t>処理最高圧力[MPa]＝</t>
  </si>
  <si>
    <t>処理最低圧力[MPa]＝</t>
  </si>
  <si>
    <t>飽和蒸気</t>
  </si>
  <si>
    <t>タービン内部効率の計算例</t>
  </si>
  <si>
    <t>湿り度</t>
  </si>
  <si>
    <t>タービン入口圧力[MPa]</t>
  </si>
  <si>
    <t>タービン排気圧力[MPa]</t>
  </si>
  <si>
    <t>タービン内部効率[%]</t>
  </si>
  <si>
    <t>タービン排気蒸気条件の計算例</t>
  </si>
  <si>
    <t>熱伝導率[W/(mK)]</t>
  </si>
  <si>
    <t>粘性係数[μPa・s]</t>
  </si>
  <si>
    <t>温度[℃]</t>
  </si>
  <si>
    <t>温度[℃]</t>
    <phoneticPr fontId="1"/>
  </si>
  <si>
    <t>圧力[atg}</t>
    <phoneticPr fontId="1"/>
  </si>
  <si>
    <t>圧力[MPa}</t>
    <phoneticPr fontId="1"/>
  </si>
  <si>
    <t>ｴﾝﾄﾛﾋﾟｰ[KJ/KgK]</t>
    <phoneticPr fontId="1"/>
  </si>
  <si>
    <t>ｴﾝﾀﾙﾋﾟｰ[KJ/Kg]</t>
    <phoneticPr fontId="1"/>
  </si>
  <si>
    <t>入口蒸気ｴﾝﾀﾙﾋﾟｰ[KJ/Kg]</t>
    <phoneticPr fontId="1"/>
  </si>
  <si>
    <t>入口蒸気ｴﾝﾄﾛﾋﾟｰ[KJ/KgK]</t>
    <phoneticPr fontId="1"/>
  </si>
  <si>
    <t>断熱膨張点ｴﾝﾀﾙﾋﾟｰ[KJ/Kg]</t>
    <phoneticPr fontId="1"/>
  </si>
  <si>
    <t>断熱熱落差[KJ/Kg]</t>
    <phoneticPr fontId="1"/>
  </si>
  <si>
    <t>有効熱落差[KJ/Kg]</t>
    <phoneticPr fontId="1"/>
  </si>
  <si>
    <t>排気ｴﾝﾀﾙﾋﾟｰ[KJ/Kg]</t>
    <phoneticPr fontId="1"/>
  </si>
  <si>
    <t>タービン排気温度[℃]</t>
    <phoneticPr fontId="1"/>
  </si>
  <si>
    <t>タービン入口温度[℃]</t>
    <phoneticPr fontId="1"/>
  </si>
  <si>
    <t>処理最高温度[℃]＝</t>
    <phoneticPr fontId="1"/>
  </si>
  <si>
    <t>処理最低温度[℃]＝</t>
    <phoneticPr fontId="1"/>
  </si>
  <si>
    <t>比容積[m3/Kg]</t>
  </si>
  <si>
    <t>比容積[m3/Kg]</t>
    <rPh sb="0" eb="3">
      <t>ヒヨウセキ</t>
    </rPh>
    <phoneticPr fontId="1"/>
  </si>
  <si>
    <t>比容積[m3/Kg]</t>
    <phoneticPr fontId="1"/>
  </si>
  <si>
    <t>蒸発熱[KJ/kgK]</t>
    <phoneticPr fontId="1"/>
  </si>
  <si>
    <t>エントロピ[KJ/kgK]</t>
    <phoneticPr fontId="1"/>
  </si>
  <si>
    <t>飽和蒸気判定</t>
    <rPh sb="0" eb="2">
      <t>ホウワ</t>
    </rPh>
    <rPh sb="2" eb="4">
      <t>ジョウキ</t>
    </rPh>
    <rPh sb="4" eb="6">
      <t>ハンテイ</t>
    </rPh>
    <phoneticPr fontId="1"/>
  </si>
  <si>
    <t>断熱膨張点温度[℃]</t>
    <phoneticPr fontId="1"/>
  </si>
  <si>
    <t>定積比熱</t>
    <rPh sb="0" eb="1">
      <t>テイ</t>
    </rPh>
    <rPh sb="1" eb="2">
      <t>セキ</t>
    </rPh>
    <rPh sb="2" eb="4">
      <t>ヒネツ</t>
    </rPh>
    <phoneticPr fontId="1"/>
  </si>
  <si>
    <t>ｴﾝﾀﾙﾋﾟｰ＆圧力-&gt;温度</t>
    <phoneticPr fontId="1"/>
  </si>
  <si>
    <t>音速[m/s]</t>
    <rPh sb="0" eb="2">
      <t>オンソク</t>
    </rPh>
    <phoneticPr fontId="1"/>
  </si>
  <si>
    <t>等エントロピー指数</t>
    <rPh sb="0" eb="1">
      <t>トウ</t>
    </rPh>
    <rPh sb="7" eb="9">
      <t>シスウ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</si>
</sst>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_ "/>
  </numFmts>
  <fonts count="2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176" fontId="0" fillId="2" borderId="0" xfId="0" applyNumberFormat="1" applyFill="1"/>
    <xf numFmtId="0" fontId="0" fillId="0" borderId="1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2" borderId="7" xfId="0" applyFill="1" applyBorder="1"/>
    <xf numFmtId="0" fontId="0" fillId="0" borderId="8" xfId="0" applyBorder="1"/>
    <xf numFmtId="0" fontId="0" fillId="2" borderId="5" xfId="0" applyFill="1" applyBorder="1"/>
    <xf numFmtId="0" fontId="0" fillId="2" borderId="8" xfId="0" applyFill="1" applyBorder="1"/>
    <xf numFmtId="0" fontId="0" fillId="0" borderId="9" xfId="0" applyBorder="1"/>
    <xf numFmtId="0" fontId="0" fillId="0" borderId="10" xfId="0" applyBorder="1"/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2EC04-CEA7-4558-8D5C-889E38556666}">
  <sheetPr codeName="Sheet1">
    <pageSetUpPr fitToPage="1"/>
  </sheetPr>
  <dimension ref="A1:M43"/>
  <sheetViews>
    <sheetView tabSelected="1" workbookViewId="0">
      <selection activeCell="H28" sqref="H28"/>
    </sheetView>
  </sheetViews>
  <sheetFormatPr defaultRowHeight="13.5" x14ac:dyDescent="0.15"/>
  <cols>
    <col min="1" max="1" width="25.25" customWidth="1"/>
    <col min="2" max="2" width="9.25" customWidth="1"/>
    <col min="3" max="3" width="4.125" customWidth="1"/>
    <col min="4" max="4" width="14.25" customWidth="1"/>
    <col min="6" max="6" width="12" customWidth="1"/>
    <col min="7" max="7" width="13.5" customWidth="1"/>
    <col min="8" max="8" width="14.25" customWidth="1"/>
    <col min="9" max="9" width="15.25" customWidth="1"/>
    <col min="10" max="10" width="18.75" customWidth="1"/>
    <col min="11" max="11" width="12.125" customWidth="1"/>
    <col min="12" max="12" width="10.125" customWidth="1"/>
  </cols>
  <sheetData>
    <row r="1" spans="1:13" x14ac:dyDescent="0.15">
      <c r="A1" s="1" t="s">
        <v>0</v>
      </c>
    </row>
    <row r="2" spans="1:13" x14ac:dyDescent="0.15">
      <c r="D2" s="3" t="s">
        <v>1</v>
      </c>
      <c r="E2" s="4"/>
      <c r="F2" s="4"/>
      <c r="G2" s="4"/>
      <c r="H2" s="4"/>
      <c r="I2" s="5"/>
      <c r="J2" s="5"/>
      <c r="K2" s="5"/>
      <c r="L2" s="6"/>
    </row>
    <row r="3" spans="1:13" x14ac:dyDescent="0.15">
      <c r="A3" t="s">
        <v>2</v>
      </c>
      <c r="B3" s="1" cm="1">
        <f t="array" aca="1" ref="B3" ca="1">STM_GetDllVer(1)</f>
        <v>2</v>
      </c>
      <c r="D3" s="7" t="s">
        <v>23</v>
      </c>
      <c r="E3" t="s">
        <v>25</v>
      </c>
      <c r="F3" t="s">
        <v>4</v>
      </c>
      <c r="G3" t="s">
        <v>5</v>
      </c>
      <c r="H3" t="s">
        <v>39</v>
      </c>
      <c r="I3" t="s">
        <v>6</v>
      </c>
      <c r="J3" t="s">
        <v>7</v>
      </c>
      <c r="L3" s="8" t="s">
        <v>45</v>
      </c>
    </row>
    <row r="4" spans="1:13" x14ac:dyDescent="0.15">
      <c r="A4" t="s">
        <v>8</v>
      </c>
      <c r="B4" s="1" cm="1">
        <f t="array" aca="1" ref="B4" ca="1">STM_GetDllVer(2)</f>
        <v>2</v>
      </c>
      <c r="D4" s="7">
        <f>50</f>
        <v>50</v>
      </c>
      <c r="E4">
        <v>0.2</v>
      </c>
      <c r="F4" s="1" cm="1">
        <f t="array" aca="1" ref="F4" ca="1">STM_nHtp(D4,E4)</f>
        <v>209.49804671108208</v>
      </c>
      <c r="G4" s="1">
        <f t="shared" ref="G4:G8" ca="1" si="0">STM_nStp(D4,E4)</f>
        <v>0.70370703473527974</v>
      </c>
      <c r="H4" s="1">
        <f t="shared" ref="H4:H8" ca="1" si="1">STM_nDtp(D4,E4)</f>
        <v>1.0120531589867538E-3</v>
      </c>
      <c r="I4" s="1">
        <f t="shared" ref="I4:I8" ca="1" si="2">STM_nCPtp(D4,E4)</f>
        <v>4179.3255784797457</v>
      </c>
      <c r="J4" s="1">
        <f t="shared" ref="J4:J8" ca="1" si="3">STM_nTps(E4,G4)</f>
        <v>49.995913084922961</v>
      </c>
      <c r="K4" t="str">
        <f t="shared" ref="K4:K9" ca="1" si="4">IF(J4&gt;=0,"&lt;-正常な計算","&lt;-Error")</f>
        <v>&lt;-正常な計算</v>
      </c>
      <c r="L4" s="13">
        <f t="shared" ref="L4:L9" ca="1" si="5">STM_nCVtp(D4,E4)</f>
        <v>4023.8533391758911</v>
      </c>
    </row>
    <row r="5" spans="1:13" x14ac:dyDescent="0.15">
      <c r="A5" t="s">
        <v>9</v>
      </c>
      <c r="B5" s="1" cm="1">
        <f t="array" aca="1" ref="B5" ca="1">STM_GetDllVer(3)</f>
        <v>0</v>
      </c>
      <c r="D5" s="7">
        <v>100</v>
      </c>
      <c r="E5">
        <v>1</v>
      </c>
      <c r="F5" s="1" cm="1">
        <f t="array" aca="1" ref="F5" ca="1">STM_nHtp(D5,E5)</f>
        <v>419.77415185096334</v>
      </c>
      <c r="G5" s="1">
        <f t="shared" ca="1" si="0"/>
        <v>1.3063110513462837</v>
      </c>
      <c r="H5" s="1">
        <f t="shared" ca="1" si="1"/>
        <v>1.0429975790915225E-3</v>
      </c>
      <c r="I5" s="1">
        <f t="shared" ca="1" si="2"/>
        <v>4214.5772619735917</v>
      </c>
      <c r="J5" s="1">
        <f t="shared" ca="1" si="3"/>
        <v>100.00251133071811</v>
      </c>
      <c r="K5" t="str">
        <f ca="1">IF(J5&gt;=0,"&lt;-正常な計算","&lt;-Error")</f>
        <v>&lt;-正常な計算</v>
      </c>
      <c r="L5" s="13">
        <f t="shared" ca="1" si="5"/>
        <v>3766.3839704208158</v>
      </c>
    </row>
    <row r="6" spans="1:13" x14ac:dyDescent="0.15">
      <c r="A6" t="s">
        <v>10</v>
      </c>
      <c r="B6" s="1" cm="1">
        <f t="array" aca="1" ref="B6" ca="1">STM_GetDllVer(4)</f>
        <v>0</v>
      </c>
      <c r="D6" s="7">
        <v>280</v>
      </c>
      <c r="E6">
        <v>0.01</v>
      </c>
      <c r="F6" s="1">
        <f t="shared" ref="F6:F8" ca="1" si="6">STM_nHtp(D6,E6)</f>
        <v>3036.8405093404326</v>
      </c>
      <c r="G6" s="1">
        <f t="shared" ca="1" si="0"/>
        <v>9.2118097717416827</v>
      </c>
      <c r="H6" s="1">
        <f t="shared" ca="1" si="1"/>
        <v>25.522286468863676</v>
      </c>
      <c r="I6" s="1">
        <f t="shared" ca="1" si="2"/>
        <v>1988.6799260038081</v>
      </c>
      <c r="J6" s="1">
        <f t="shared" ca="1" si="3"/>
        <v>280.0004766622651</v>
      </c>
      <c r="K6" t="str">
        <f t="shared" ca="1" si="4"/>
        <v>&lt;-正常な計算</v>
      </c>
      <c r="L6" s="13">
        <f t="shared" ca="1" si="5"/>
        <v>1526.4315183227666</v>
      </c>
    </row>
    <row r="7" spans="1:13" x14ac:dyDescent="0.15">
      <c r="D7" s="7">
        <v>400</v>
      </c>
      <c r="E7">
        <v>2</v>
      </c>
      <c r="F7" s="1">
        <f t="shared" ca="1" si="6"/>
        <v>3248.2270760371948</v>
      </c>
      <c r="G7" s="1">
        <f t="shared" ca="1" si="0"/>
        <v>7.1289616923872101</v>
      </c>
      <c r="H7" s="1">
        <f t="shared" ca="1" si="1"/>
        <v>0.15120803671136404</v>
      </c>
      <c r="I7" s="1">
        <f t="shared" ca="1" si="2"/>
        <v>2199.6834778911925</v>
      </c>
      <c r="J7" s="1">
        <f t="shared" ca="1" si="3"/>
        <v>400.00186354456741</v>
      </c>
      <c r="K7" t="str">
        <f t="shared" ca="1" si="4"/>
        <v>&lt;-正常な計算</v>
      </c>
      <c r="L7" s="13">
        <f t="shared" ca="1" si="5"/>
        <v>1662.7171650649568</v>
      </c>
    </row>
    <row r="8" spans="1:13" x14ac:dyDescent="0.15">
      <c r="A8" t="s">
        <v>36</v>
      </c>
      <c r="B8" s="1" cm="1">
        <f t="array" aca="1" ref="B8" ca="1">STM_GetMaxTemp()</f>
        <v>2000</v>
      </c>
      <c r="D8" s="7">
        <v>643</v>
      </c>
      <c r="E8">
        <v>98</v>
      </c>
      <c r="F8" s="1">
        <f t="shared" ca="1" si="6"/>
        <v>3088.1557809821238</v>
      </c>
      <c r="G8" s="1">
        <f t="shared" ca="1" si="0"/>
        <v>5.4139775486035386</v>
      </c>
      <c r="H8" s="1">
        <f t="shared" ca="1" si="1"/>
        <v>3.1167220186330241E-3</v>
      </c>
      <c r="I8" s="1">
        <f t="shared" ca="1" si="2"/>
        <v>4693.925969818938</v>
      </c>
      <c r="J8" s="1">
        <f t="shared" ca="1" si="3"/>
        <v>642.99703001036471</v>
      </c>
      <c r="K8" t="str">
        <f t="shared" ca="1" si="4"/>
        <v>&lt;-正常な計算</v>
      </c>
      <c r="L8" s="13">
        <f t="shared" ca="1" si="5"/>
        <v>2404.2941474132867</v>
      </c>
    </row>
    <row r="9" spans="1:13" x14ac:dyDescent="0.15">
      <c r="A9" t="s">
        <v>37</v>
      </c>
      <c r="B9" s="1" cm="1">
        <f t="array" aca="1" ref="B9" ca="1">STM_GetMinTemp()</f>
        <v>0</v>
      </c>
      <c r="D9" s="9">
        <v>1073</v>
      </c>
      <c r="E9" s="10">
        <v>80</v>
      </c>
      <c r="F9" s="11" cm="1">
        <f t="array" aca="1" ref="F9" ca="1">STM_nHtp(D9,E9)</f>
        <v>-99999.998999999996</v>
      </c>
      <c r="G9" s="11" cm="1">
        <f t="array" aca="1" ref="G9" ca="1">STM_nStp(D9,E9)</f>
        <v>-99999.998999999996</v>
      </c>
      <c r="H9" s="11" cm="1">
        <f t="array" aca="1" ref="H9" ca="1">STM_nDtp(D9,E9)</f>
        <v>-99999.998999999996</v>
      </c>
      <c r="I9" s="11" cm="1">
        <f t="array" aca="1" ref="I9" ca="1">STM_nCPtp(D9,E9)</f>
        <v>-99999.998999999996</v>
      </c>
      <c r="J9" s="11" cm="1">
        <f t="array" aca="1" ref="J9" ca="1">STM_nTps(E9,G9)</f>
        <v>-99999.998999999996</v>
      </c>
      <c r="K9" s="10" t="str">
        <f t="shared" ca="1" si="4"/>
        <v>&lt;-Error</v>
      </c>
      <c r="L9" s="14">
        <f t="shared" ca="1" si="5"/>
        <v>-99999.998999999996</v>
      </c>
    </row>
    <row r="10" spans="1:13" x14ac:dyDescent="0.15">
      <c r="A10" t="s">
        <v>11</v>
      </c>
      <c r="B10" s="2">
        <f ca="1">STM_GetMaxPress()</f>
        <v>100</v>
      </c>
    </row>
    <row r="11" spans="1:13" x14ac:dyDescent="0.15">
      <c r="A11" t="s">
        <v>12</v>
      </c>
      <c r="B11" s="1">
        <f ca="1">STM_GetMinPress()/1</f>
        <v>0</v>
      </c>
    </row>
    <row r="12" spans="1:13" x14ac:dyDescent="0.15">
      <c r="D12" s="3" t="s">
        <v>13</v>
      </c>
      <c r="E12" s="4"/>
      <c r="F12" s="4"/>
      <c r="G12" s="4"/>
      <c r="H12" s="4"/>
      <c r="I12" s="4"/>
      <c r="J12" s="5"/>
      <c r="K12" s="6"/>
    </row>
    <row r="13" spans="1:13" x14ac:dyDescent="0.15">
      <c r="A13" s="15" t="s">
        <v>14</v>
      </c>
      <c r="B13" s="16"/>
      <c r="D13" s="7" t="s">
        <v>22</v>
      </c>
      <c r="E13" t="s">
        <v>15</v>
      </c>
      <c r="F13" t="s">
        <v>24</v>
      </c>
      <c r="G13" t="s">
        <v>27</v>
      </c>
      <c r="H13" t="s">
        <v>42</v>
      </c>
      <c r="I13" t="s">
        <v>40</v>
      </c>
      <c r="J13" t="s">
        <v>41</v>
      </c>
      <c r="K13" s="8"/>
    </row>
    <row r="14" spans="1:13" x14ac:dyDescent="0.15">
      <c r="A14" s="7" t="s">
        <v>35</v>
      </c>
      <c r="B14" s="8">
        <v>560</v>
      </c>
      <c r="D14" s="7">
        <v>0.01</v>
      </c>
      <c r="E14">
        <v>1E-3</v>
      </c>
      <c r="F14" s="1">
        <f ca="1">STM_sPt(D14)</f>
        <v>6.1165700001066317E-4</v>
      </c>
      <c r="G14" s="1">
        <f ca="1">STM_sHtx(D14,E14)</f>
        <v>2498.4100842566086</v>
      </c>
      <c r="H14" s="1">
        <f ca="1">STM_sStx(D14,E14)</f>
        <v>9.1463359822010268</v>
      </c>
      <c r="I14" s="1">
        <f ca="1">STM_sDtx(D14,E14)</f>
        <v>0.99537814099248934</v>
      </c>
      <c r="J14" s="1">
        <f ca="1">STM_sRt(D14)</f>
        <v>2500.9103828564162</v>
      </c>
      <c r="K14" s="8"/>
    </row>
    <row r="15" spans="1:13" x14ac:dyDescent="0.15">
      <c r="A15" s="7" t="s">
        <v>16</v>
      </c>
      <c r="B15" s="8">
        <v>25</v>
      </c>
      <c r="D15" s="7">
        <v>370</v>
      </c>
      <c r="E15">
        <v>0</v>
      </c>
      <c r="F15" s="1">
        <f ca="1">STM_sPt(D15)</f>
        <v>21.04336731897525</v>
      </c>
      <c r="G15" s="1">
        <f ca="1">STM_sHtx(D15,E15)</f>
        <v>2333.4992139020233</v>
      </c>
      <c r="H15" s="1">
        <f ca="1">STM_sStx(D15,E15)</f>
        <v>4.7996176847155967</v>
      </c>
      <c r="I15" s="1">
        <f ca="1">STM_sDtx(D15,E15)</f>
        <v>4.9461786496439748E-3</v>
      </c>
      <c r="J15" s="1">
        <f ca="1">STM_sRt(D15)</f>
        <v>440.85598981966973</v>
      </c>
      <c r="K15" s="8"/>
    </row>
    <row r="16" spans="1:13" x14ac:dyDescent="0.15">
      <c r="A16" s="7" t="s">
        <v>34</v>
      </c>
      <c r="B16" s="8">
        <v>340</v>
      </c>
      <c r="D16" s="7">
        <v>120</v>
      </c>
      <c r="E16">
        <v>0.2</v>
      </c>
      <c r="F16" s="1">
        <f ca="1">STM_sPt(D16)</f>
        <v>0.19866539973930203</v>
      </c>
      <c r="G16" s="1">
        <f ca="1">STM_sHtx(D16,E16)</f>
        <v>2265.5043113549737</v>
      </c>
      <c r="H16" s="1">
        <f ca="1">STM_sStx(D16,E16)</f>
        <v>6.0088356951184814</v>
      </c>
      <c r="I16" s="1">
        <f ca="1">STM_sDtx(D16,E16)</f>
        <v>5.276524250844062E-3</v>
      </c>
      <c r="J16" s="1">
        <f ca="1">STM_sRt(D16)</f>
        <v>2202.1496803099249</v>
      </c>
      <c r="K16" s="8"/>
      <c r="M16" t="e" cm="1">
        <f t="array" ref="M16">GetVersion(4)</f>
        <v>#VALUE!</v>
      </c>
    </row>
    <row r="17" spans="1:13" x14ac:dyDescent="0.15">
      <c r="A17" s="7" t="s">
        <v>17</v>
      </c>
      <c r="B17" s="8">
        <v>5</v>
      </c>
      <c r="D17" s="7"/>
      <c r="K17" s="8"/>
      <c r="M17" t="e" cm="1">
        <f t="array" ref="M17">DebugVersion(4)</f>
        <v>#VALUE!</v>
      </c>
    </row>
    <row r="18" spans="1:13" x14ac:dyDescent="0.15">
      <c r="A18" s="7" t="s">
        <v>28</v>
      </c>
      <c r="B18" s="13">
        <f ca="1">STM_nHtp(B14,B15)</f>
        <v>3371.2931516471422</v>
      </c>
      <c r="D18" s="7" t="s">
        <v>3</v>
      </c>
      <c r="E18" t="s">
        <v>15</v>
      </c>
      <c r="F18" t="s">
        <v>23</v>
      </c>
      <c r="G18" t="s">
        <v>27</v>
      </c>
      <c r="H18" t="s">
        <v>5</v>
      </c>
      <c r="I18" t="s">
        <v>40</v>
      </c>
      <c r="J18" t="s">
        <v>41</v>
      </c>
      <c r="K18" s="8"/>
    </row>
    <row r="19" spans="1:13" x14ac:dyDescent="0.15">
      <c r="A19" s="7" t="s">
        <v>29</v>
      </c>
      <c r="B19" s="13">
        <f ca="1">STM_nStp(B14,B15)</f>
        <v>6.2203001722300364</v>
      </c>
      <c r="D19" s="7">
        <v>1E-3</v>
      </c>
      <c r="E19">
        <v>1</v>
      </c>
      <c r="F19" s="1">
        <f ca="1">STM_sTp(D19)</f>
        <v>6.9696324125610545</v>
      </c>
      <c r="H19" s="1">
        <f ca="1">STM_sStx(F19,E19)</f>
        <v>0.10591044766253487</v>
      </c>
      <c r="J19" s="1">
        <f ca="1">STM_sRt(F19)</f>
        <v>2484.3837925055741</v>
      </c>
      <c r="K19" s="8"/>
      <c r="L19" t="e" cm="1">
        <f t="array" aca="1" ref="L19" ca="1">TestDllVer(1)</f>
        <v>#NAME?</v>
      </c>
    </row>
    <row r="20" spans="1:13" x14ac:dyDescent="0.15">
      <c r="A20" s="7" t="s">
        <v>44</v>
      </c>
      <c r="B20" s="13">
        <f ca="1">STM_nTps(B17,B19)</f>
        <v>301.70239031694416</v>
      </c>
      <c r="D20" s="7">
        <v>1</v>
      </c>
      <c r="E20">
        <v>0</v>
      </c>
      <c r="F20" s="1">
        <f ca="1">STM_sTp(D20)</f>
        <v>179.88563239146663</v>
      </c>
      <c r="H20" s="1">
        <f ca="1">STM_sStx(F20,E20)</f>
        <v>6.5849789963521728</v>
      </c>
      <c r="J20" s="1">
        <f ca="1">STM_sRt(F20)</f>
        <v>2014.436693349252</v>
      </c>
      <c r="K20" s="8"/>
      <c r="L20" t="e" cm="1">
        <f t="array" aca="1" ref="L20" ca="1">TestDllVer(2)</f>
        <v>#NAME?</v>
      </c>
    </row>
    <row r="21" spans="1:13" x14ac:dyDescent="0.15">
      <c r="A21" s="7" t="s">
        <v>30</v>
      </c>
      <c r="B21" s="13">
        <f ca="1">STM_nHtp(B20,B17)</f>
        <v>2931.0188665292612</v>
      </c>
      <c r="D21" s="7">
        <v>20</v>
      </c>
      <c r="E21">
        <v>0</v>
      </c>
      <c r="F21" s="1">
        <f ca="1">STM_sTp(D21)</f>
        <v>365.7459115457051</v>
      </c>
      <c r="H21" s="1">
        <f ca="1">STM_sStx(F21,E21)</f>
        <v>4.9299045377068955</v>
      </c>
      <c r="J21" s="1">
        <f ca="1">STM_sRt(F21)</f>
        <v>584.28691872006198</v>
      </c>
      <c r="K21" s="8"/>
      <c r="L21" t="e" cm="1">
        <f t="array" aca="1" ref="L21" ca="1">TestDllVer(3)</f>
        <v>#NAME?</v>
      </c>
    </row>
    <row r="22" spans="1:13" x14ac:dyDescent="0.15">
      <c r="A22" s="7" t="s">
        <v>31</v>
      </c>
      <c r="B22" s="8">
        <f ca="1">B18-B21</f>
        <v>440.27428511788094</v>
      </c>
      <c r="D22" s="7">
        <v>15</v>
      </c>
      <c r="E22">
        <v>0</v>
      </c>
      <c r="F22" s="1">
        <f ca="1">STM_sTp(D22)</f>
        <v>342.15787124898213</v>
      </c>
      <c r="H22" s="1">
        <f ca="1">STM_sStx(F22,E22)</f>
        <v>5.3108003193294708</v>
      </c>
      <c r="J22" s="1">
        <f ca="1">STM_sRt(F22)</f>
        <v>1000.7129731139753</v>
      </c>
      <c r="K22" s="8"/>
      <c r="L22" t="e" cm="1">
        <f t="array" aca="1" ref="L22" ca="1">TestDllVer(4)</f>
        <v>#NAME?</v>
      </c>
    </row>
    <row r="23" spans="1:13" x14ac:dyDescent="0.15">
      <c r="A23" s="7" t="s">
        <v>33</v>
      </c>
      <c r="B23" s="13">
        <f ca="1">STM_nHtp(B16,B17)</f>
        <v>3042.3646186808883</v>
      </c>
      <c r="D23" s="7"/>
      <c r="K23" s="8"/>
      <c r="L23" t="e" cm="1">
        <f t="array" aca="1" ref="L23" ca="1">GetDllVersion(1)</f>
        <v>#NAME?</v>
      </c>
    </row>
    <row r="24" spans="1:13" x14ac:dyDescent="0.15">
      <c r="A24" s="7" t="s">
        <v>32</v>
      </c>
      <c r="B24" s="8">
        <f ca="1">B18-B23</f>
        <v>328.9285329662539</v>
      </c>
      <c r="D24" s="7" t="s">
        <v>26</v>
      </c>
      <c r="E24" t="s">
        <v>3</v>
      </c>
      <c r="F24" t="s">
        <v>4</v>
      </c>
      <c r="G24" t="s">
        <v>15</v>
      </c>
      <c r="H24" t="s">
        <v>43</v>
      </c>
      <c r="I24" t="s">
        <v>22</v>
      </c>
      <c r="J24" t="s">
        <v>7</v>
      </c>
      <c r="K24" s="8"/>
      <c r="L24" t="e" cm="1">
        <f t="array" aca="1" ref="L24" ca="1">GetDllVersion(2)</f>
        <v>#NAME?</v>
      </c>
    </row>
    <row r="25" spans="1:13" x14ac:dyDescent="0.15">
      <c r="A25" s="9" t="s">
        <v>18</v>
      </c>
      <c r="B25" s="12">
        <f ca="1">100*B24/B22</f>
        <v>74.709912453366471</v>
      </c>
      <c r="D25" s="7">
        <v>4.8</v>
      </c>
      <c r="E25">
        <v>20</v>
      </c>
      <c r="F25" s="1">
        <f ca="1">STM_sHps(E25,D25)</f>
        <v>2328.3918084042466</v>
      </c>
      <c r="G25" s="1">
        <f ca="1">STM_sXps(E25,D25)</f>
        <v>0.14204623735536109</v>
      </c>
      <c r="H25" s="1">
        <f ca="1">STM_IsSat_ps(E25,D25)</f>
        <v>1</v>
      </c>
      <c r="I25" s="1">
        <f ca="1">STM_sTp(E25)</f>
        <v>365.7459115457051</v>
      </c>
      <c r="J25" s="1">
        <f ca="1">STM_nTps(E25,D25)</f>
        <v>365.7459115457051</v>
      </c>
      <c r="K25" s="8"/>
      <c r="L25" t="e" cm="1">
        <f t="array" aca="1" ref="L25" ca="1">GetDllVersion(3)</f>
        <v>#NAME?</v>
      </c>
    </row>
    <row r="26" spans="1:13" x14ac:dyDescent="0.15">
      <c r="D26" s="7">
        <v>4.7</v>
      </c>
      <c r="E26">
        <v>0.01</v>
      </c>
      <c r="F26" s="1">
        <f ca="1">STM_sHps(E26,D26)</f>
        <v>1483.8379424732714</v>
      </c>
      <c r="G26" s="1">
        <f ca="1">STM_sXps(E26,D26)</f>
        <v>0.45987235322626996</v>
      </c>
      <c r="H26" s="1">
        <f ca="1">STM_IsSat_ps(E26,D26)</f>
        <v>1</v>
      </c>
      <c r="I26" s="1">
        <f ca="1">STM_sTp(E26)</f>
        <v>45.807548207023501</v>
      </c>
      <c r="J26" s="1">
        <f ca="1">STM_nTps(E26,D26)</f>
        <v>45.807548207023501</v>
      </c>
      <c r="K26" s="8"/>
      <c r="L26" t="e" cm="1">
        <f t="array" aca="1" ref="L26" ca="1">GetDllVersion(3)</f>
        <v>#NAME?</v>
      </c>
    </row>
    <row r="27" spans="1:13" x14ac:dyDescent="0.15">
      <c r="A27" s="15" t="s">
        <v>19</v>
      </c>
      <c r="B27" s="16"/>
      <c r="D27" s="7">
        <v>8</v>
      </c>
      <c r="E27">
        <v>0.01</v>
      </c>
      <c r="F27" s="1">
        <f ca="1">STM_sHps(E27,D27)</f>
        <v>2536.3963678366363</v>
      </c>
      <c r="G27" s="1">
        <f ca="1">STM_sXps(E27,D27)</f>
        <v>1.9853297427835887E-2</v>
      </c>
      <c r="H27" s="1">
        <f ca="1">STM_IsSat_ps(E27,D27)</f>
        <v>1</v>
      </c>
      <c r="I27" s="1">
        <f ca="1">STM_sTp(E27)</f>
        <v>45.807548207023501</v>
      </c>
      <c r="J27" s="1">
        <f ca="1">STM_nTps(E27,D27)</f>
        <v>45.807548207023501</v>
      </c>
      <c r="K27" s="8"/>
      <c r="L27" cm="1">
        <f t="array" aca="1" ref="L27" ca="1">STM_GetDllVer(1)</f>
        <v>2</v>
      </c>
    </row>
    <row r="28" spans="1:13" x14ac:dyDescent="0.15">
      <c r="A28" s="7" t="s">
        <v>35</v>
      </c>
      <c r="B28" s="8">
        <v>599</v>
      </c>
      <c r="D28" s="7"/>
      <c r="K28" s="8"/>
      <c r="L28" cm="1">
        <f t="array" aca="1" ref="L28" ca="1">STM_GetDllVer(2)</f>
        <v>2</v>
      </c>
    </row>
    <row r="29" spans="1:13" x14ac:dyDescent="0.15">
      <c r="A29" s="7" t="s">
        <v>16</v>
      </c>
      <c r="B29" s="8">
        <v>25</v>
      </c>
      <c r="D29" s="7" t="s">
        <v>27</v>
      </c>
      <c r="E29" t="s">
        <v>3</v>
      </c>
      <c r="F29" t="s">
        <v>15</v>
      </c>
      <c r="G29" t="s">
        <v>26</v>
      </c>
      <c r="H29" t="s">
        <v>43</v>
      </c>
      <c r="I29" t="s">
        <v>22</v>
      </c>
      <c r="J29" t="s">
        <v>46</v>
      </c>
      <c r="K29" s="8"/>
      <c r="L29" cm="1">
        <f t="array" aca="1" ref="L29" ca="1">STM_GetDllVer(3)</f>
        <v>0</v>
      </c>
    </row>
    <row r="30" spans="1:13" x14ac:dyDescent="0.15">
      <c r="A30" s="7" t="s">
        <v>17</v>
      </c>
      <c r="B30" s="8">
        <v>4</v>
      </c>
      <c r="D30" s="7">
        <v>23250</v>
      </c>
      <c r="E30">
        <v>20</v>
      </c>
      <c r="F30" s="1">
        <f ca="1">STM_sXph(E30,D30)</f>
        <v>-99999.998999999996</v>
      </c>
      <c r="H30" s="1">
        <f ca="1">STM_IsSat_ph(E30,D30)</f>
        <v>0</v>
      </c>
      <c r="I30" s="1">
        <f ca="1">STM_sTp(E30)</f>
        <v>365.7459115457051</v>
      </c>
      <c r="J30" s="1">
        <f ca="1">STM_nTph(E30,D30)</f>
        <v>-99999.998999999996</v>
      </c>
      <c r="K30" s="8"/>
      <c r="L30" cm="1">
        <f t="array" aca="1" ref="L30" ca="1">STM_GetDllVer(4)</f>
        <v>0</v>
      </c>
    </row>
    <row r="31" spans="1:13" x14ac:dyDescent="0.15">
      <c r="A31" s="7" t="s">
        <v>18</v>
      </c>
      <c r="B31" s="8">
        <v>70</v>
      </c>
      <c r="D31" s="7">
        <v>1480</v>
      </c>
      <c r="E31">
        <v>0.01</v>
      </c>
      <c r="F31" s="1">
        <f ca="1">STM_sXph(E31,D31)</f>
        <v>0.46147679416047704</v>
      </c>
      <c r="H31" s="1">
        <f ca="1">STM_IsSat_ph(E31,D31)</f>
        <v>1</v>
      </c>
      <c r="I31" s="1">
        <f ca="1">STM_sTp(E31)</f>
        <v>45.807548207023501</v>
      </c>
      <c r="J31" s="1">
        <f ca="1">STM_nTph(E31,D31)</f>
        <v>45.807548207023501</v>
      </c>
      <c r="K31" s="8"/>
    </row>
    <row r="32" spans="1:13" x14ac:dyDescent="0.15">
      <c r="A32" s="7" t="s">
        <v>28</v>
      </c>
      <c r="B32" s="13">
        <f ca="1">STM_nHtp(B28,B29)</f>
        <v>3490.7206220739849</v>
      </c>
      <c r="D32" s="7">
        <v>2580</v>
      </c>
      <c r="E32">
        <v>0.01</v>
      </c>
      <c r="F32" s="1">
        <f ca="1">STM_sXph(E32,D32)</f>
        <v>1.6249230292538302E-3</v>
      </c>
      <c r="H32" s="1">
        <f ca="1">STM_IsSat_ph(E32,D32)</f>
        <v>1</v>
      </c>
      <c r="I32" s="1">
        <f ca="1">STM_sTp(E32)</f>
        <v>45.807548207023501</v>
      </c>
      <c r="J32" s="1">
        <f ca="1">STM_nTph(E32,D32)</f>
        <v>45.807548207023501</v>
      </c>
      <c r="K32" s="8"/>
    </row>
    <row r="33" spans="1:11" x14ac:dyDescent="0.15">
      <c r="A33" s="7" t="s">
        <v>29</v>
      </c>
      <c r="B33" s="13">
        <f ca="1">STM_nStp(B28,B29)</f>
        <v>6.3604248774435685</v>
      </c>
      <c r="D33" s="9"/>
      <c r="E33" s="10"/>
      <c r="F33" s="10"/>
      <c r="G33" s="10"/>
      <c r="H33" s="10"/>
      <c r="I33" s="10"/>
      <c r="J33" s="10"/>
      <c r="K33" s="12"/>
    </row>
    <row r="34" spans="1:11" x14ac:dyDescent="0.15">
      <c r="A34" s="7" t="s">
        <v>44</v>
      </c>
      <c r="B34" s="13">
        <f ca="1">STM_nTps(B30,B33)</f>
        <v>299.30658989793585</v>
      </c>
    </row>
    <row r="35" spans="1:11" x14ac:dyDescent="0.15">
      <c r="A35" s="7" t="s">
        <v>30</v>
      </c>
      <c r="B35" s="13">
        <f ca="1">STM_nHtp(B34,B30)</f>
        <v>2959.6936540934425</v>
      </c>
    </row>
    <row r="36" spans="1:11" x14ac:dyDescent="0.15">
      <c r="A36" s="7" t="s">
        <v>31</v>
      </c>
      <c r="B36" s="8">
        <f ca="1">B32-B35</f>
        <v>531.02696798054239</v>
      </c>
      <c r="D36" s="3" t="s">
        <v>1</v>
      </c>
      <c r="E36" s="4"/>
      <c r="F36" s="4"/>
      <c r="G36" s="5"/>
      <c r="H36" s="5"/>
      <c r="I36" s="5"/>
      <c r="J36" s="6"/>
    </row>
    <row r="37" spans="1:11" x14ac:dyDescent="0.15">
      <c r="A37" s="7" t="s">
        <v>32</v>
      </c>
      <c r="B37" s="8">
        <f ca="1">B36*B31/100</f>
        <v>371.71887758637968</v>
      </c>
      <c r="D37" s="7" t="s">
        <v>23</v>
      </c>
      <c r="E37" t="s">
        <v>3</v>
      </c>
      <c r="F37" t="s">
        <v>38</v>
      </c>
      <c r="G37" t="s">
        <v>20</v>
      </c>
      <c r="H37" s="18" t="s">
        <v>47</v>
      </c>
      <c r="I37" t="s">
        <v>21</v>
      </c>
      <c r="J37" s="17" t="s">
        <v>48</v>
      </c>
    </row>
    <row r="38" spans="1:11" x14ac:dyDescent="0.15">
      <c r="A38" s="7" t="s">
        <v>33</v>
      </c>
      <c r="B38" s="8">
        <f ca="1">B32-B37</f>
        <v>3119.0017444876053</v>
      </c>
      <c r="D38" s="7">
        <v>100</v>
      </c>
      <c r="E38">
        <v>10</v>
      </c>
      <c r="F38" s="1">
        <f t="shared" ref="F38:F43" ca="1" si="7">STM_nDtp(D38,E38)</f>
        <v>1.0384953508574513E-3</v>
      </c>
      <c r="H38" s="1">
        <f t="shared" ref="H38:H43" ca="1" si="8">STM_nWtp(D38,E38)</f>
        <v>1565.145335191545</v>
      </c>
      <c r="J38" s="13">
        <f t="shared" ref="J38:J43" ca="1" si="9">STM_nKtp(D38,E38)</f>
        <v>235.88742291905623</v>
      </c>
    </row>
    <row r="39" spans="1:11" x14ac:dyDescent="0.15">
      <c r="A39" s="9" t="s">
        <v>34</v>
      </c>
      <c r="B39" s="14">
        <f ca="1">STM_nTph(B30,B38)</f>
        <v>360.36905137571136</v>
      </c>
      <c r="D39" s="7">
        <v>400</v>
      </c>
      <c r="E39">
        <v>100</v>
      </c>
      <c r="F39" s="1">
        <f t="shared" ca="1" si="7"/>
        <v>1.4431748693845053E-3</v>
      </c>
      <c r="H39" s="1">
        <f t="shared" ca="1" si="8"/>
        <v>1093.3103987218997</v>
      </c>
      <c r="J39" s="13">
        <f t="shared" ca="1" si="9"/>
        <v>8.2826253680124999</v>
      </c>
    </row>
    <row r="40" spans="1:11" x14ac:dyDescent="0.15">
      <c r="D40" s="7">
        <v>570</v>
      </c>
      <c r="E40">
        <v>50</v>
      </c>
      <c r="F40" s="1">
        <f t="shared" ca="1" si="7"/>
        <v>5.5366704661549701E-3</v>
      </c>
      <c r="H40" s="1">
        <f t="shared" ca="1" si="8"/>
        <v>634.9880451432258</v>
      </c>
      <c r="J40" s="13">
        <f t="shared" ca="1" si="9"/>
        <v>1.4565064687869385</v>
      </c>
    </row>
    <row r="41" spans="1:11" x14ac:dyDescent="0.15">
      <c r="D41" s="7">
        <v>800</v>
      </c>
      <c r="E41">
        <v>0.1</v>
      </c>
      <c r="F41" s="1">
        <f t="shared" ca="1" si="7"/>
        <v>4.9519596041838341</v>
      </c>
      <c r="H41" s="1">
        <f t="shared" ca="1" si="8"/>
        <v>785.33516492306262</v>
      </c>
      <c r="J41" s="13">
        <f t="shared" ca="1" si="9"/>
        <v>1.2454692092876731</v>
      </c>
    </row>
    <row r="42" spans="1:11" x14ac:dyDescent="0.15">
      <c r="D42" s="7">
        <v>600</v>
      </c>
      <c r="E42">
        <v>0.1</v>
      </c>
      <c r="F42" s="1">
        <f t="shared" ca="1" si="7"/>
        <v>4.0279491198105202</v>
      </c>
      <c r="H42" s="1">
        <f t="shared" ca="1" si="8"/>
        <v>713.93016498646239</v>
      </c>
      <c r="J42" s="13">
        <f t="shared" ca="1" si="9"/>
        <v>1.2653990041005638</v>
      </c>
    </row>
    <row r="43" spans="1:11" x14ac:dyDescent="0.15">
      <c r="D43" s="9">
        <v>1073</v>
      </c>
      <c r="E43" s="10">
        <v>1</v>
      </c>
      <c r="F43" s="11">
        <f t="shared" ca="1" si="7"/>
        <v>0.6210397780350384</v>
      </c>
      <c r="G43" s="10"/>
      <c r="H43" s="11">
        <f t="shared" ca="1" si="8"/>
        <v>872.15315827851043</v>
      </c>
      <c r="I43" s="10"/>
      <c r="J43" s="14">
        <f t="shared" ca="1" si="9"/>
        <v>1.2248025946129739</v>
      </c>
    </row>
  </sheetData>
  <phoneticPr fontId="1"/>
  <pageMargins left="0.75" right="0.75" top="1" bottom="1" header="0.51200000000000001" footer="0.51200000000000001"/>
  <pageSetup paperSize="9" scale="84" orientation="landscape" horizontalDpi="400" verticalDpi="400" r:id="rId1"/>
  <headerFooter alignWithMargins="0">
    <oddHeader>&amp;A</oddHeader>
    <oddFooter>- &amp;P -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1284A-3B1E-4153-A5E5-84758C226FE4}">
  <sheetPr codeName="Sheet2"/>
  <dimension ref="A1"/>
  <sheetViews>
    <sheetView workbookViewId="0">
      <selection activeCell="F15" sqref="F15"/>
    </sheetView>
  </sheetViews>
  <sheetFormatPr defaultRowHeight="13.5" x14ac:dyDescent="0.15"/>
  <sheetData/>
  <phoneticPr fontId="1"/>
  <pageMargins left="0.75" right="0.75" top="1" bottom="1" header="0.51200000000000001" footer="0.5120000000000000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表Sample</vt:lpstr>
      <vt:lpstr>Sheet4</vt:lpstr>
      <vt:lpstr>表Sample!Print_Area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Buchi</dc:creator>
  <cp:lastModifiedBy>tadashi kunieda</cp:lastModifiedBy>
  <cp:lastPrinted>1999-03-23T08:13:37Z</cp:lastPrinted>
  <dcterms:created xsi:type="dcterms:W3CDTF">1996-04-14T10:14:04Z</dcterms:created>
  <dcterms:modified xsi:type="dcterms:W3CDTF">2026-01-02T03:24:55Z</dcterms:modified>
</cp:coreProperties>
</file>